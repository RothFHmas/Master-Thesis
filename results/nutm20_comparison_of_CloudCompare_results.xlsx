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Upload für MA\results\"/>
    </mc:Choice>
  </mc:AlternateContent>
  <bookViews>
    <workbookView xWindow="0" yWindow="0" windowWidth="28800" windowHeight="12885" tabRatio="500"/>
  </bookViews>
  <sheets>
    <sheet name="Daten" sheetId="1" r:id="rId1"/>
    <sheet name="Diagramme" sheetId="2" r:id="rId2"/>
    <sheet name="Anleitung" sheetId="3" r:id="rId3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4" i="1" l="1"/>
  <c r="B24" i="1"/>
  <c r="C23" i="1"/>
  <c r="B23" i="1"/>
  <c r="B21" i="1"/>
  <c r="B20" i="1"/>
  <c r="C19" i="1"/>
  <c r="B19" i="1"/>
  <c r="C18" i="1"/>
  <c r="B18" i="1"/>
  <c r="D12" i="1"/>
  <c r="D11" i="1"/>
  <c r="D10" i="1"/>
  <c r="D9" i="1"/>
  <c r="D8" i="1"/>
  <c r="D7" i="1"/>
  <c r="D6" i="1"/>
  <c r="B22" i="1" s="1"/>
</calcChain>
</file>

<file path=xl/sharedStrings.xml><?xml version="1.0" encoding="utf-8"?>
<sst xmlns="http://schemas.openxmlformats.org/spreadsheetml/2006/main" count="53" uniqueCount="50">
  <si>
    <t>Mesh-Vergleich — Quantitative Auswertung CloudCompare</t>
  </si>
  <si>
    <t>Referenz: Original CAD-Mesh  |  Methode: C2M signed distances nach ICP-Registrierung</t>
  </si>
  <si>
    <t>Distanz-Metriken (mm)</t>
  </si>
  <si>
    <t>Rekonstruktion</t>
  </si>
  <si>
    <t>Mean
(≈Chamfer)</t>
  </si>
  <si>
    <t>Std Dev</t>
  </si>
  <si>
    <t>RMS</t>
  </si>
  <si>
    <t>Max
(Hausdorff)</t>
  </si>
  <si>
    <t>Min</t>
  </si>
  <si>
    <t>Methode</t>
  </si>
  <si>
    <t>Datum</t>
  </si>
  <si>
    <t>CADRecode_Synthetic</t>
  </si>
  <si>
    <t>Colmap</t>
  </si>
  <si>
    <t>Meshroom</t>
  </si>
  <si>
    <t>Point2Cad</t>
  </si>
  <si>
    <t>Point2Cad_Synthetic</t>
  </si>
  <si>
    <t>Trellis2</t>
  </si>
  <si>
    <t>VisualHull</t>
  </si>
  <si>
    <t>Zusammenfassung</t>
  </si>
  <si>
    <t>Bestes Mean (niedrigster Wert)</t>
  </si>
  <si>
    <t>Schlechtestes Mean (höchster Wert)</t>
  </si>
  <si>
    <t>Durchschnitt Mean</t>
  </si>
  <si>
    <t>Durchschnitt Std Dev</t>
  </si>
  <si>
    <t>Durchschnitt RMS</t>
  </si>
  <si>
    <t>Bester Hausdorff (niedrigster Max)</t>
  </si>
  <si>
    <t>Beste Vollständigkeit (% &lt; Schwellw.)</t>
  </si>
  <si>
    <t>💡 Blau = Eingabe aus CloudCompare  |  Grün = automatisch berechnet  |  RMS = selbst berechnen: √(Mean²+ StdDev²) oder aus Tools→Statistics</t>
  </si>
  <si>
    <t>Diagramme — NUT M20</t>
  </si>
  <si>
    <t>Anleitung — Werte aus CloudCompare eintragen</t>
  </si>
  <si>
    <t>DISTANZ-METRIKEN</t>
  </si>
  <si>
    <t>Mean (≈ Chamfer)</t>
  </si>
  <si>
    <t>Console nach C2M Berechnung: 'Mean distance = ...'</t>
  </si>
  <si>
    <t>Console nach C2M Berechnung: 'std deviation = ...'</t>
  </si>
  <si>
    <t>Entweder: Tools → Statistics → Compute Stat. Params → RMS
Oder selbst: √(Mean² + StdDev²)</t>
  </si>
  <si>
    <t>Max / Hausdorff</t>
  </si>
  <si>
    <t>Properties Panel → SF display params → oberer Wert (Max)</t>
  </si>
  <si>
    <t>Properties Panel → SF display params → unterer Wert (Min)</t>
  </si>
  <si>
    <t>QUALITÄT</t>
  </si>
  <si>
    <t>% &lt; Schwellwert</t>
  </si>
  <si>
    <t>Edit → Scalar fields → Filter by value → Punkte unter Schwellwert zählen
Geteilt durch Gesamtpunktzahl = Prozentwert</t>
  </si>
  <si>
    <t>Schwellwert (mm)</t>
  </si>
  <si>
    <t>Dein gewählter Toleranzwert, z.B. 0.1 mm für feine Rekonstruktionen</t>
  </si>
  <si>
    <t>VOLLSTÄNDIGKEIT</t>
  </si>
  <si>
    <t>Punkte Rekonstr.</t>
  </si>
  <si>
    <t>DB Tree → Punktwolke anklicken → Properties → Size = Punktanzahl</t>
  </si>
  <si>
    <t>Punkte Referenz</t>
  </si>
  <si>
    <t>DB Tree → Referenz-Mesh anklicken → Properties → Vertices = Punktanzahl</t>
  </si>
  <si>
    <t>METADATEN</t>
  </si>
  <si>
    <t>z.B. 'Photogrammetrie', 'NeRF', 'Structured Light', 'Synthetic'</t>
  </si>
  <si>
    <t>Datum der Messung / Rekonstruktion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</si>
</sst>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0"/>
  </numFmts>
  <fonts count="10" x14ac:knownFonts="1">
    <font>
      <sz val="11"/>
      <color theme="1"/>
      <name val="Calibri"/>
      <family val="2"/>
      <charset val="1"/>
    </font>
    <font>
      <b/>
      <sz val="14"/>
      <color rgb="FF2F4F8F"/>
      <name val="Arial"/>
      <charset val="1"/>
    </font>
    <font>
      <i/>
      <sz val="9"/>
      <color rgb="FF555555"/>
      <name val="Arial"/>
      <charset val="1"/>
    </font>
    <font>
      <b/>
      <sz val="10"/>
      <color rgb="FFFFFFFF"/>
      <name val="Arial"/>
      <charset val="1"/>
    </font>
    <font>
      <sz val="10"/>
      <color rgb="FF0000CC"/>
      <name val="Arial"/>
      <charset val="1"/>
    </font>
    <font>
      <b/>
      <sz val="10"/>
      <color rgb="FF2F4F8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i/>
      <sz val="9"/>
      <color rgb="FF444444"/>
      <name val="Arial"/>
      <charset val="1"/>
    </font>
    <font>
      <b/>
      <sz val="11"/>
      <color rgb="FFFFFFFF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2F4F8F"/>
        <bgColor rgb="FF444444"/>
      </patternFill>
    </fill>
    <fill>
      <patternFill patternType="solid">
        <fgColor rgb="FFD9E8FF"/>
        <bgColor rgb="FFE8F5E9"/>
      </patternFill>
    </fill>
    <fill>
      <patternFill patternType="solid">
        <fgColor rgb="FFE8F5E9"/>
        <bgColor rgb="FFD9E8FF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/>
    </xf>
    <xf numFmtId="164" fontId="4" fillId="3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164" fontId="7" fillId="4" borderId="1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vertical="center" wrapText="1"/>
    </xf>
    <xf numFmtId="0" fontId="7" fillId="4" borderId="2" xfId="0" applyFont="1" applyFill="1" applyBorder="1" applyAlignment="1">
      <alignment horizontal="left" vertical="center"/>
    </xf>
    <xf numFmtId="0" fontId="8" fillId="0" borderId="0" xfId="0" applyFont="1" applyBorder="1"/>
    <xf numFmtId="0" fontId="5" fillId="0" borderId="0" xfId="0" applyFont="1" applyBorder="1" applyAlignment="1">
      <alignment horizontal="left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9" fillId="2" borderId="0" xfId="0" applyFont="1" applyFill="1" applyBorder="1" applyAlignment="1">
      <alignment horizontal="left" vertical="center" indent="1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CC"/>
      <rgbColor rgb="FFFFFF00"/>
      <rgbColor rgb="FFFF00FF"/>
      <rgbColor rgb="FF00FFFF"/>
      <rgbColor rgb="FF800000"/>
      <rgbColor rgb="FF1A6B3C"/>
      <rgbColor rgb="FF000080"/>
      <rgbColor rgb="FF808000"/>
      <rgbColor rgb="FF800080"/>
      <rgbColor rgb="FF008080"/>
      <rgbColor rgb="FFB3B3B3"/>
      <rgbColor rgb="FF777777"/>
      <rgbColor rgb="FF9999FF"/>
      <rgbColor rgb="FF8E44AD"/>
      <rgbColor rgb="FFE8F5E9"/>
      <rgbColor rgb="FFD9E8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67E22"/>
      <rgbColor rgb="FF555555"/>
      <rgbColor rgb="FFAAAAAA"/>
      <rgbColor rgb="FF003366"/>
      <rgbColor rgb="FF27AE60"/>
      <rgbColor rgb="FF003300"/>
      <rgbColor rgb="FF333300"/>
      <rgbColor rgb="FFC0392B"/>
      <rgbColor rgb="FF993366"/>
      <rgbColor rgb="FF2F4F8F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Mean Distance ≈ Chamfer (mm)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Daten!$B$5</c:f>
              <c:strCache>
                <c:ptCount val="1"/>
                <c:pt idx="0">
                  <c:v>Mean
(≈Chamfer)</c:v>
                </c:pt>
              </c:strCache>
            </c:strRef>
          </c:tx>
          <c:spPr>
            <a:solidFill>
              <a:srgbClr val="2F4F8F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Daten!$A$6:$A$12</c:f>
              <c:strCache>
                <c:ptCount val="7"/>
                <c:pt idx="0">
                  <c:v>CADRecode_Synthetic</c:v>
                </c:pt>
                <c:pt idx="1">
                  <c:v>Colmap</c:v>
                </c:pt>
                <c:pt idx="2">
                  <c:v>Meshroom</c:v>
                </c:pt>
                <c:pt idx="3">
                  <c:v>Point2Cad</c:v>
                </c:pt>
                <c:pt idx="4">
                  <c:v>Point2Cad_Synthetic</c:v>
                </c:pt>
                <c:pt idx="5">
                  <c:v>Trellis2</c:v>
                </c:pt>
                <c:pt idx="6">
                  <c:v>VisualHull</c:v>
                </c:pt>
              </c:strCache>
            </c:strRef>
          </c:cat>
          <c:val>
            <c:numRef>
              <c:f>Daten!$B$6:$B$12</c:f>
              <c:numCache>
                <c:formatCode>0.00000</c:formatCode>
                <c:ptCount val="7"/>
                <c:pt idx="0">
                  <c:v>0.147483</c:v>
                </c:pt>
                <c:pt idx="1">
                  <c:v>0.75682300000000002</c:v>
                </c:pt>
                <c:pt idx="2">
                  <c:v>0.77491299999999996</c:v>
                </c:pt>
                <c:pt idx="3">
                  <c:v>1.35595</c:v>
                </c:pt>
                <c:pt idx="4">
                  <c:v>0.43086400000000002</c:v>
                </c:pt>
                <c:pt idx="5">
                  <c:v>0.91111799999999998</c:v>
                </c:pt>
                <c:pt idx="6">
                  <c:v>1.2718100000000001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83-40FC-8A96-1D36301051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5761811"/>
        <c:axId val="73876691"/>
      </c:barChart>
      <c:catAx>
        <c:axId val="9576181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Rekonstruktion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3876691"/>
        <c:crosses val="autoZero"/>
        <c:auto val="1"/>
        <c:lblAlgn val="ctr"/>
        <c:lblOffset val="100"/>
        <c:noMultiLvlLbl val="0"/>
      </c:catAx>
      <c:valAx>
        <c:axId val="7387669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mm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5761811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Hausdorff Distance / Max (mm)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Daten!$E$5</c:f>
              <c:strCache>
                <c:ptCount val="1"/>
                <c:pt idx="0">
                  <c:v>Max
(Hausdorff)</c:v>
                </c:pt>
              </c:strCache>
            </c:strRef>
          </c:tx>
          <c:spPr>
            <a:solidFill>
              <a:srgbClr val="C0392B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Daten!$A$6:$A$12</c:f>
              <c:strCache>
                <c:ptCount val="7"/>
                <c:pt idx="0">
                  <c:v>CADRecode_Synthetic</c:v>
                </c:pt>
                <c:pt idx="1">
                  <c:v>Colmap</c:v>
                </c:pt>
                <c:pt idx="2">
                  <c:v>Meshroom</c:v>
                </c:pt>
                <c:pt idx="3">
                  <c:v>Point2Cad</c:v>
                </c:pt>
                <c:pt idx="4">
                  <c:v>Point2Cad_Synthetic</c:v>
                </c:pt>
                <c:pt idx="5">
                  <c:v>Trellis2</c:v>
                </c:pt>
                <c:pt idx="6">
                  <c:v>VisualHull</c:v>
                </c:pt>
              </c:strCache>
            </c:strRef>
          </c:cat>
          <c:val>
            <c:numRef>
              <c:f>Daten!$E$6:$E$12</c:f>
              <c:numCache>
                <c:formatCode>0.00000</c:formatCode>
                <c:ptCount val="7"/>
                <c:pt idx="0">
                  <c:v>1.1822983</c:v>
                </c:pt>
                <c:pt idx="1">
                  <c:v>3.5673863899999998</c:v>
                </c:pt>
                <c:pt idx="2">
                  <c:v>2.5096571399999998</c:v>
                </c:pt>
                <c:pt idx="3">
                  <c:v>8.2040481599999993</c:v>
                </c:pt>
                <c:pt idx="4">
                  <c:v>2.73600698</c:v>
                </c:pt>
                <c:pt idx="5">
                  <c:v>2.5353217099999998</c:v>
                </c:pt>
                <c:pt idx="6">
                  <c:v>8.7190189399999998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29-4B08-A9BD-694009DE46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3426540"/>
        <c:axId val="17326721"/>
      </c:barChart>
      <c:catAx>
        <c:axId val="7342654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Rekonstruktion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7326721"/>
        <c:crosses val="autoZero"/>
        <c:auto val="1"/>
        <c:lblAlgn val="ctr"/>
        <c:lblOffset val="100"/>
        <c:noMultiLvlLbl val="0"/>
      </c:catAx>
      <c:valAx>
        <c:axId val="1732672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mm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3426540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RMS Distance (mm)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Daten!$D$5</c:f>
              <c:strCache>
                <c:ptCount val="1"/>
                <c:pt idx="0">
                  <c:v>RMS</c:v>
                </c:pt>
              </c:strCache>
            </c:strRef>
          </c:tx>
          <c:spPr>
            <a:solidFill>
              <a:srgbClr val="E67E22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Daten!$A$6:$A$12</c:f>
              <c:strCache>
                <c:ptCount val="7"/>
                <c:pt idx="0">
                  <c:v>CADRecode_Synthetic</c:v>
                </c:pt>
                <c:pt idx="1">
                  <c:v>Colmap</c:v>
                </c:pt>
                <c:pt idx="2">
                  <c:v>Meshroom</c:v>
                </c:pt>
                <c:pt idx="3">
                  <c:v>Point2Cad</c:v>
                </c:pt>
                <c:pt idx="4">
                  <c:v>Point2Cad_Synthetic</c:v>
                </c:pt>
                <c:pt idx="5">
                  <c:v>Trellis2</c:v>
                </c:pt>
                <c:pt idx="6">
                  <c:v>VisualHull</c:v>
                </c:pt>
              </c:strCache>
            </c:strRef>
          </c:cat>
          <c:val>
            <c:numRef>
              <c:f>Daten!$D$6:$D$12</c:f>
              <c:numCache>
                <c:formatCode>0.00000</c:formatCode>
                <c:ptCount val="7"/>
                <c:pt idx="0">
                  <c:v>0.23344522085063127</c:v>
                </c:pt>
                <c:pt idx="1">
                  <c:v>0.92966113392891714</c:v>
                </c:pt>
                <c:pt idx="2">
                  <c:v>0.9357063381921702</c:v>
                </c:pt>
                <c:pt idx="3">
                  <c:v>1.687388263382201</c:v>
                </c:pt>
                <c:pt idx="4">
                  <c:v>0.53844443035470246</c:v>
                </c:pt>
                <c:pt idx="5">
                  <c:v>1.0108453651968732</c:v>
                </c:pt>
                <c:pt idx="6">
                  <c:v>1.7990635560201871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92-4D8F-9FF2-6C84331168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675206"/>
        <c:axId val="34032864"/>
      </c:barChart>
      <c:catAx>
        <c:axId val="2067520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Rekonstruktion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4032864"/>
        <c:crosses val="autoZero"/>
        <c:auto val="1"/>
        <c:lblAlgn val="ctr"/>
        <c:lblOffset val="100"/>
        <c:noMultiLvlLbl val="0"/>
      </c:catAx>
      <c:valAx>
        <c:axId val="3403286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mm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0675206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Std Deviation (mm)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Daten!$C$5</c:f>
              <c:strCache>
                <c:ptCount val="1"/>
                <c:pt idx="0">
                  <c:v>Std Dev</c:v>
                </c:pt>
              </c:strCache>
            </c:strRef>
          </c:tx>
          <c:spPr>
            <a:solidFill>
              <a:srgbClr val="27AE60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Daten!$A$6:$A$12</c:f>
              <c:strCache>
                <c:ptCount val="7"/>
                <c:pt idx="0">
                  <c:v>CADRecode_Synthetic</c:v>
                </c:pt>
                <c:pt idx="1">
                  <c:v>Colmap</c:v>
                </c:pt>
                <c:pt idx="2">
                  <c:v>Meshroom</c:v>
                </c:pt>
                <c:pt idx="3">
                  <c:v>Point2Cad</c:v>
                </c:pt>
                <c:pt idx="4">
                  <c:v>Point2Cad_Synthetic</c:v>
                </c:pt>
                <c:pt idx="5">
                  <c:v>Trellis2</c:v>
                </c:pt>
                <c:pt idx="6">
                  <c:v>VisualHull</c:v>
                </c:pt>
              </c:strCache>
            </c:strRef>
          </c:cat>
          <c:val>
            <c:numRef>
              <c:f>Daten!$C$6:$C$12</c:f>
              <c:numCache>
                <c:formatCode>0.00000</c:formatCode>
                <c:ptCount val="7"/>
                <c:pt idx="0">
                  <c:v>0.18095700000000001</c:v>
                </c:pt>
                <c:pt idx="1">
                  <c:v>0.53989699999999996</c:v>
                </c:pt>
                <c:pt idx="2">
                  <c:v>0.52445799999999998</c:v>
                </c:pt>
                <c:pt idx="3">
                  <c:v>1.0043299999999999</c:v>
                </c:pt>
                <c:pt idx="4">
                  <c:v>0.32292199999999999</c:v>
                </c:pt>
                <c:pt idx="5">
                  <c:v>0.43780400000000003</c:v>
                </c:pt>
                <c:pt idx="6">
                  <c:v>1.2724500000000001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38-440C-9ED0-72F101F262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983161"/>
        <c:axId val="56854524"/>
      </c:barChart>
      <c:catAx>
        <c:axId val="4198316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Rekonstruktion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6854524"/>
        <c:crosses val="autoZero"/>
        <c:auto val="1"/>
        <c:lblAlgn val="ctr"/>
        <c:lblOffset val="100"/>
        <c:noMultiLvlLbl val="0"/>
      </c:catAx>
      <c:valAx>
        <c:axId val="5685452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mm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983161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Vergleich: Mean vs. RMS vs. Hausdorff (mm)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Daten!$B$5</c:f>
              <c:strCache>
                <c:ptCount val="1"/>
                <c:pt idx="0">
                  <c:v>Mean
(≈Chamfer)</c:v>
                </c:pt>
              </c:strCache>
            </c:strRef>
          </c:tx>
          <c:spPr>
            <a:solidFill>
              <a:srgbClr val="2F4F8F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Daten!$A$6:$A$12</c:f>
              <c:strCache>
                <c:ptCount val="7"/>
                <c:pt idx="0">
                  <c:v>CADRecode_Synthetic</c:v>
                </c:pt>
                <c:pt idx="1">
                  <c:v>Colmap</c:v>
                </c:pt>
                <c:pt idx="2">
                  <c:v>Meshroom</c:v>
                </c:pt>
                <c:pt idx="3">
                  <c:v>Point2Cad</c:v>
                </c:pt>
                <c:pt idx="4">
                  <c:v>Point2Cad_Synthetic</c:v>
                </c:pt>
                <c:pt idx="5">
                  <c:v>Trellis2</c:v>
                </c:pt>
                <c:pt idx="6">
                  <c:v>VisualHull</c:v>
                </c:pt>
              </c:strCache>
            </c:strRef>
          </c:cat>
          <c:val>
            <c:numRef>
              <c:f>Daten!$B$6:$B$12</c:f>
              <c:numCache>
                <c:formatCode>0.00000</c:formatCode>
                <c:ptCount val="7"/>
                <c:pt idx="0">
                  <c:v>0.147483</c:v>
                </c:pt>
                <c:pt idx="1">
                  <c:v>0.75682300000000002</c:v>
                </c:pt>
                <c:pt idx="2">
                  <c:v>0.77491299999999996</c:v>
                </c:pt>
                <c:pt idx="3">
                  <c:v>1.35595</c:v>
                </c:pt>
                <c:pt idx="4">
                  <c:v>0.43086400000000002</c:v>
                </c:pt>
                <c:pt idx="5">
                  <c:v>0.91111799999999998</c:v>
                </c:pt>
                <c:pt idx="6">
                  <c:v>1.2718100000000001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EA-45F7-90D6-5BC024A15364}"/>
            </c:ext>
          </c:extLst>
        </c:ser>
        <c:ser>
          <c:idx val="1"/>
          <c:order val="1"/>
          <c:tx>
            <c:strRef>
              <c:f>Daten!$D$5</c:f>
              <c:strCache>
                <c:ptCount val="1"/>
                <c:pt idx="0">
                  <c:v>RMS</c:v>
                </c:pt>
              </c:strCache>
            </c:strRef>
          </c:tx>
          <c:spPr>
            <a:solidFill>
              <a:srgbClr val="E67E22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Daten!$A$6:$A$12</c:f>
              <c:strCache>
                <c:ptCount val="7"/>
                <c:pt idx="0">
                  <c:v>CADRecode_Synthetic</c:v>
                </c:pt>
                <c:pt idx="1">
                  <c:v>Colmap</c:v>
                </c:pt>
                <c:pt idx="2">
                  <c:v>Meshroom</c:v>
                </c:pt>
                <c:pt idx="3">
                  <c:v>Point2Cad</c:v>
                </c:pt>
                <c:pt idx="4">
                  <c:v>Point2Cad_Synthetic</c:v>
                </c:pt>
                <c:pt idx="5">
                  <c:v>Trellis2</c:v>
                </c:pt>
                <c:pt idx="6">
                  <c:v>VisualHull</c:v>
                </c:pt>
              </c:strCache>
            </c:strRef>
          </c:cat>
          <c:val>
            <c:numRef>
              <c:f>Daten!$D$6:$D$12</c:f>
              <c:numCache>
                <c:formatCode>0.00000</c:formatCode>
                <c:ptCount val="7"/>
                <c:pt idx="0">
                  <c:v>0.23344522085063127</c:v>
                </c:pt>
                <c:pt idx="1">
                  <c:v>0.92966113392891714</c:v>
                </c:pt>
                <c:pt idx="2">
                  <c:v>0.9357063381921702</c:v>
                </c:pt>
                <c:pt idx="3">
                  <c:v>1.687388263382201</c:v>
                </c:pt>
                <c:pt idx="4">
                  <c:v>0.53844443035470246</c:v>
                </c:pt>
                <c:pt idx="5">
                  <c:v>1.0108453651968732</c:v>
                </c:pt>
                <c:pt idx="6">
                  <c:v>1.7990635560201871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EA-45F7-90D6-5BC024A15364}"/>
            </c:ext>
          </c:extLst>
        </c:ser>
        <c:ser>
          <c:idx val="2"/>
          <c:order val="2"/>
          <c:tx>
            <c:strRef>
              <c:f>Daten!$E$5</c:f>
              <c:strCache>
                <c:ptCount val="1"/>
                <c:pt idx="0">
                  <c:v>Max
(Hausdorff)</c:v>
                </c:pt>
              </c:strCache>
            </c:strRef>
          </c:tx>
          <c:spPr>
            <a:solidFill>
              <a:srgbClr val="C0392B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Daten!$A$6:$A$12</c:f>
              <c:strCache>
                <c:ptCount val="7"/>
                <c:pt idx="0">
                  <c:v>CADRecode_Synthetic</c:v>
                </c:pt>
                <c:pt idx="1">
                  <c:v>Colmap</c:v>
                </c:pt>
                <c:pt idx="2">
                  <c:v>Meshroom</c:v>
                </c:pt>
                <c:pt idx="3">
                  <c:v>Point2Cad</c:v>
                </c:pt>
                <c:pt idx="4">
                  <c:v>Point2Cad_Synthetic</c:v>
                </c:pt>
                <c:pt idx="5">
                  <c:v>Trellis2</c:v>
                </c:pt>
                <c:pt idx="6">
                  <c:v>VisualHull</c:v>
                </c:pt>
              </c:strCache>
            </c:strRef>
          </c:cat>
          <c:val>
            <c:numRef>
              <c:f>Daten!$E$6:$E$12</c:f>
              <c:numCache>
                <c:formatCode>0.00000</c:formatCode>
                <c:ptCount val="7"/>
                <c:pt idx="0">
                  <c:v>1.1822983</c:v>
                </c:pt>
                <c:pt idx="1">
                  <c:v>3.5673863899999998</c:v>
                </c:pt>
                <c:pt idx="2">
                  <c:v>2.5096571399999998</c:v>
                </c:pt>
                <c:pt idx="3">
                  <c:v>8.2040481599999993</c:v>
                </c:pt>
                <c:pt idx="4">
                  <c:v>2.73600698</c:v>
                </c:pt>
                <c:pt idx="5">
                  <c:v>2.5353217099999998</c:v>
                </c:pt>
                <c:pt idx="6">
                  <c:v>8.7190189399999998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8EA-45F7-90D6-5BC024A153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659638"/>
        <c:axId val="1333156"/>
      </c:barChart>
      <c:catAx>
        <c:axId val="965963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Rekonstruktion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33156"/>
        <c:crosses val="autoZero"/>
        <c:auto val="1"/>
        <c:lblAlgn val="ctr"/>
        <c:lblOffset val="100"/>
        <c:noMultiLvlLbl val="0"/>
      </c:catAx>
      <c:valAx>
        <c:axId val="133315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mm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659638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7" r="0.7" t="0.78740157499999996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10</xdr:col>
      <xdr:colOff>339120</xdr:colOff>
      <xdr:row>24</xdr:row>
      <xdr:rowOff>128880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2</xdr:row>
      <xdr:rowOff>0</xdr:rowOff>
    </xdr:from>
    <xdr:to>
      <xdr:col>19</xdr:col>
      <xdr:colOff>339120</xdr:colOff>
      <xdr:row>24</xdr:row>
      <xdr:rowOff>128880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24</xdr:row>
      <xdr:rowOff>0</xdr:rowOff>
    </xdr:from>
    <xdr:to>
      <xdr:col>10</xdr:col>
      <xdr:colOff>339120</xdr:colOff>
      <xdr:row>46</xdr:row>
      <xdr:rowOff>128520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24</xdr:row>
      <xdr:rowOff>0</xdr:rowOff>
    </xdr:from>
    <xdr:to>
      <xdr:col>19</xdr:col>
      <xdr:colOff>339120</xdr:colOff>
      <xdr:row>46</xdr:row>
      <xdr:rowOff>128520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4</xdr:col>
      <xdr:colOff>180975</xdr:colOff>
      <xdr:row>47</xdr:row>
      <xdr:rowOff>133350</xdr:rowOff>
    </xdr:from>
    <xdr:to>
      <xdr:col>14</xdr:col>
      <xdr:colOff>520095</xdr:colOff>
      <xdr:row>75</xdr:row>
      <xdr:rowOff>171450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"/>
  <sheetViews>
    <sheetView tabSelected="1" zoomScaleNormal="100" workbookViewId="0">
      <pane ySplit="5" topLeftCell="A6" activePane="bottomLeft" state="frozen"/>
      <selection pane="bottomLeft" activeCell="N28" sqref="N28"/>
    </sheetView>
  </sheetViews>
  <sheetFormatPr baseColWidth="10" defaultColWidth="8.7109375" defaultRowHeight="15" x14ac:dyDescent="0.25"/>
  <cols>
    <col min="1" max="1" width="41.140625" customWidth="1"/>
    <col min="2" max="2" width="12" customWidth="1"/>
    <col min="3" max="4" width="11" customWidth="1"/>
    <col min="5" max="5" width="14" customWidth="1"/>
    <col min="6" max="6" width="11" customWidth="1"/>
    <col min="7" max="7" width="14" customWidth="1"/>
    <col min="8" max="8" width="13" customWidth="1"/>
    <col min="9" max="9" width="16" customWidth="1"/>
    <col min="10" max="10" width="14" customWidth="1"/>
    <col min="11" max="11" width="18" customWidth="1"/>
    <col min="12" max="12" width="12" customWidth="1"/>
    <col min="13" max="13" width="22" customWidth="1"/>
  </cols>
  <sheetData>
    <row r="1" spans="1:13" ht="31.5" customHeight="1" x14ac:dyDescent="0.25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ht="15" customHeight="1" x14ac:dyDescent="0.25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3" ht="6" customHeight="1" x14ac:dyDescent="0.25"/>
    <row r="4" spans="1:13" ht="19.5" customHeight="1" x14ac:dyDescent="0.25">
      <c r="B4" s="14" t="s">
        <v>2</v>
      </c>
      <c r="C4" s="14"/>
      <c r="D4" s="14"/>
      <c r="E4" s="14"/>
      <c r="F4" s="14"/>
    </row>
    <row r="5" spans="1:13" ht="39.75" customHeight="1" x14ac:dyDescent="0.2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</row>
    <row r="6" spans="1:13" ht="21.75" customHeight="1" x14ac:dyDescent="0.25">
      <c r="A6" s="2" t="s">
        <v>11</v>
      </c>
      <c r="B6" s="3">
        <v>0.147483</v>
      </c>
      <c r="C6" s="3">
        <v>0.18095700000000001</v>
      </c>
      <c r="D6" s="3">
        <f t="shared" ref="D6:D12" si="0">SQRT(B6^2+C6^2)</f>
        <v>0.23344522085063127</v>
      </c>
      <c r="E6" s="3">
        <v>1.1822983</v>
      </c>
      <c r="F6" s="3">
        <v>0</v>
      </c>
    </row>
    <row r="7" spans="1:13" ht="21.75" customHeight="1" x14ac:dyDescent="0.25">
      <c r="A7" s="2" t="s">
        <v>12</v>
      </c>
      <c r="B7" s="3">
        <v>0.75682300000000002</v>
      </c>
      <c r="C7" s="3">
        <v>0.53989699999999996</v>
      </c>
      <c r="D7" s="3">
        <f t="shared" si="0"/>
        <v>0.92966113392891714</v>
      </c>
      <c r="E7" s="3">
        <v>3.5673863899999998</v>
      </c>
      <c r="F7" s="3">
        <v>3.9999999999999998E-7</v>
      </c>
    </row>
    <row r="8" spans="1:13" ht="21.75" customHeight="1" x14ac:dyDescent="0.25">
      <c r="A8" s="2" t="s">
        <v>13</v>
      </c>
      <c r="B8" s="3">
        <v>0.77491299999999996</v>
      </c>
      <c r="C8" s="3">
        <v>0.52445799999999998</v>
      </c>
      <c r="D8" s="3">
        <f t="shared" si="0"/>
        <v>0.9357063381921702</v>
      </c>
      <c r="E8" s="3">
        <v>2.5096571399999998</v>
      </c>
      <c r="F8" s="3">
        <v>9.7000000000000003E-7</v>
      </c>
    </row>
    <row r="9" spans="1:13" ht="21.75" customHeight="1" x14ac:dyDescent="0.25">
      <c r="A9" s="2" t="s">
        <v>14</v>
      </c>
      <c r="B9" s="3">
        <v>1.35595</v>
      </c>
      <c r="C9" s="3">
        <v>1.0043299999999999</v>
      </c>
      <c r="D9" s="3">
        <f t="shared" si="0"/>
        <v>1.687388263382201</v>
      </c>
      <c r="E9" s="3">
        <v>8.2040481599999993</v>
      </c>
      <c r="F9" s="3">
        <v>0</v>
      </c>
    </row>
    <row r="10" spans="1:13" ht="21.75" customHeight="1" x14ac:dyDescent="0.25">
      <c r="A10" s="2" t="s">
        <v>15</v>
      </c>
      <c r="B10" s="3">
        <v>0.43086400000000002</v>
      </c>
      <c r="C10" s="3">
        <v>0.32292199999999999</v>
      </c>
      <c r="D10" s="3">
        <f t="shared" si="0"/>
        <v>0.53844443035470246</v>
      </c>
      <c r="E10" s="3">
        <v>2.73600698</v>
      </c>
      <c r="F10" s="3">
        <v>3.3799999999999998E-6</v>
      </c>
    </row>
    <row r="11" spans="1:13" ht="21.75" customHeight="1" x14ac:dyDescent="0.25">
      <c r="A11" s="2" t="s">
        <v>16</v>
      </c>
      <c r="B11" s="3">
        <v>0.91111799999999998</v>
      </c>
      <c r="C11" s="3">
        <v>0.43780400000000003</v>
      </c>
      <c r="D11" s="3">
        <f t="shared" si="0"/>
        <v>1.0108453651968732</v>
      </c>
      <c r="E11" s="3">
        <v>2.5353217099999998</v>
      </c>
      <c r="F11" s="3">
        <v>4.9100000000000004E-6</v>
      </c>
    </row>
    <row r="12" spans="1:13" ht="21.75" customHeight="1" x14ac:dyDescent="0.25">
      <c r="A12" s="2" t="s">
        <v>17</v>
      </c>
      <c r="B12" s="3">
        <v>1.2718100000000001</v>
      </c>
      <c r="C12" s="3">
        <v>1.2724500000000001</v>
      </c>
      <c r="D12" s="3">
        <f t="shared" si="0"/>
        <v>1.7990635560201871</v>
      </c>
      <c r="E12" s="3">
        <v>8.7190189399999998</v>
      </c>
      <c r="F12" s="3">
        <v>1.2724500000000001</v>
      </c>
    </row>
    <row r="13" spans="1:13" ht="21.75" customHeight="1" x14ac:dyDescent="0.25">
      <c r="A13" s="2"/>
      <c r="B13" s="3"/>
      <c r="C13" s="3"/>
      <c r="D13" s="3"/>
      <c r="E13" s="3"/>
      <c r="F13" s="3"/>
    </row>
    <row r="14" spans="1:13" ht="21.75" customHeight="1" x14ac:dyDescent="0.25">
      <c r="A14" s="2"/>
      <c r="B14" s="3"/>
      <c r="C14" s="3"/>
      <c r="D14" s="3"/>
      <c r="E14" s="3"/>
      <c r="F14" s="3"/>
    </row>
    <row r="15" spans="1:13" ht="21.75" customHeight="1" x14ac:dyDescent="0.25">
      <c r="A15" s="2"/>
      <c r="B15" s="3"/>
      <c r="C15" s="3"/>
      <c r="D15" s="3"/>
      <c r="E15" s="3"/>
      <c r="F15" s="3"/>
    </row>
    <row r="16" spans="1:13" ht="6" customHeight="1" x14ac:dyDescent="0.25"/>
    <row r="17" spans="1:13" ht="15" customHeight="1" x14ac:dyDescent="0.25">
      <c r="A17" s="11" t="s">
        <v>18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9.5" customHeight="1" x14ac:dyDescent="0.25">
      <c r="A18" s="4" t="s">
        <v>19</v>
      </c>
      <c r="B18" s="5">
        <f>IFERROR(MIN(B6:B15),"–")</f>
        <v>0.147483</v>
      </c>
      <c r="C18" s="9" t="str">
        <f>IFERROR(INDEX(A6:A15,MATCH(MIN(B6:B15),B6:B15,0)),"–")</f>
        <v>CADRecode_Synthetic</v>
      </c>
      <c r="D18" s="9"/>
      <c r="E18" s="9"/>
      <c r="F18" s="6"/>
    </row>
    <row r="19" spans="1:13" ht="19.5" customHeight="1" x14ac:dyDescent="0.25">
      <c r="A19" s="4" t="s">
        <v>20</v>
      </c>
      <c r="B19" s="5">
        <f>IFERROR(MAX(B6:B15),"–")</f>
        <v>1.35595</v>
      </c>
      <c r="C19" s="9" t="str">
        <f>IFERROR(INDEX(A6:A15,MATCH(MAX(B6:B15),B6:B15,0)),"–")</f>
        <v>Point2Cad</v>
      </c>
      <c r="D19" s="9"/>
      <c r="E19" s="9"/>
      <c r="F19" s="6"/>
    </row>
    <row r="20" spans="1:13" ht="19.5" customHeight="1" x14ac:dyDescent="0.25">
      <c r="A20" s="4" t="s">
        <v>21</v>
      </c>
      <c r="B20" s="5">
        <f>IFERROR(AVERAGE(B6:B15),"–")</f>
        <v>0.80699442857142856</v>
      </c>
      <c r="C20" s="9"/>
      <c r="D20" s="9"/>
      <c r="E20" s="9"/>
      <c r="F20" s="6"/>
    </row>
    <row r="21" spans="1:13" ht="19.5" customHeight="1" x14ac:dyDescent="0.25">
      <c r="A21" s="4" t="s">
        <v>22</v>
      </c>
      <c r="B21" s="5">
        <f>IFERROR(AVERAGE(C6:C15),"–")</f>
        <v>0.6118311428571428</v>
      </c>
      <c r="C21" s="9"/>
      <c r="D21" s="9"/>
      <c r="E21" s="9"/>
      <c r="F21" s="6"/>
    </row>
    <row r="22" spans="1:13" ht="19.5" customHeight="1" x14ac:dyDescent="0.25">
      <c r="A22" s="4" t="s">
        <v>23</v>
      </c>
      <c r="B22" s="5">
        <f>IFERROR(AVERAGE(D6:D15),"–")</f>
        <v>1.0192220439893833</v>
      </c>
      <c r="C22" s="9"/>
      <c r="D22" s="9"/>
      <c r="E22" s="9"/>
      <c r="F22" s="6"/>
    </row>
    <row r="23" spans="1:13" ht="19.5" customHeight="1" x14ac:dyDescent="0.25">
      <c r="A23" s="4" t="s">
        <v>24</v>
      </c>
      <c r="B23" s="5">
        <f>IFERROR(MIN(E6:E15),"–")</f>
        <v>1.1822983</v>
      </c>
      <c r="C23" s="9" t="str">
        <f>IFERROR(INDEX(A6:A15,MATCH(MIN(E6:E15),E6:E15,0)),"–")</f>
        <v>CADRecode_Synthetic</v>
      </c>
      <c r="D23" s="9"/>
      <c r="E23" s="9"/>
      <c r="F23" s="6"/>
    </row>
    <row r="24" spans="1:13" ht="19.5" customHeight="1" x14ac:dyDescent="0.25">
      <c r="A24" s="4" t="s">
        <v>25</v>
      </c>
      <c r="B24" s="5">
        <f>IFERROR(MAX(G6:G15),"–")</f>
        <v>0</v>
      </c>
      <c r="C24" s="9" t="str">
        <f>IFERROR(INDEX(A6:A15,MATCH(MAX(G6:G15),G6:G15,0)),"–")</f>
        <v>–</v>
      </c>
      <c r="D24" s="9"/>
      <c r="E24" s="9"/>
      <c r="F24" s="6"/>
    </row>
    <row r="26" spans="1:13" ht="6" customHeight="1" x14ac:dyDescent="0.25"/>
    <row r="27" spans="1:13" ht="15" customHeight="1" x14ac:dyDescent="0.25">
      <c r="A27" s="10" t="s">
        <v>26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</row>
  </sheetData>
  <mergeCells count="12">
    <mergeCell ref="A1:M1"/>
    <mergeCell ref="A2:M2"/>
    <mergeCell ref="B4:F4"/>
    <mergeCell ref="C22:E22"/>
    <mergeCell ref="C23:E23"/>
    <mergeCell ref="C24:E24"/>
    <mergeCell ref="A27:M27"/>
    <mergeCell ref="A17:M17"/>
    <mergeCell ref="C18:E18"/>
    <mergeCell ref="C19:E19"/>
    <mergeCell ref="C20:E20"/>
    <mergeCell ref="C21:E2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topLeftCell="A40" zoomScaleNormal="100" workbookViewId="0">
      <selection activeCell="R70" sqref="R70"/>
    </sheetView>
  </sheetViews>
  <sheetFormatPr baseColWidth="10" defaultColWidth="8.7109375" defaultRowHeight="15" x14ac:dyDescent="0.25"/>
  <sheetData>
    <row r="1" spans="1:14" ht="30" customHeight="1" x14ac:dyDescent="0.25">
      <c r="A1" s="12" t="s">
        <v>27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</sheetData>
  <mergeCells count="1">
    <mergeCell ref="A1:N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17"/>
  <sheetViews>
    <sheetView zoomScaleNormal="100" workbookViewId="0"/>
  </sheetViews>
  <sheetFormatPr baseColWidth="10" defaultColWidth="8.7109375" defaultRowHeight="15" x14ac:dyDescent="0.25"/>
  <cols>
    <col min="1" max="1" width="2" customWidth="1"/>
    <col min="2" max="2" width="30" customWidth="1"/>
    <col min="3" max="3" width="55" customWidth="1"/>
  </cols>
  <sheetData>
    <row r="1" spans="2:3" ht="30" customHeight="1" x14ac:dyDescent="0.25">
      <c r="B1" s="15" t="s">
        <v>28</v>
      </c>
      <c r="C1" s="15"/>
    </row>
    <row r="3" spans="2:3" ht="25.5" customHeight="1" x14ac:dyDescent="0.25">
      <c r="B3" s="16" t="s">
        <v>29</v>
      </c>
      <c r="C3" s="16"/>
    </row>
    <row r="4" spans="2:3" ht="21.75" customHeight="1" x14ac:dyDescent="0.25">
      <c r="B4" s="7" t="s">
        <v>30</v>
      </c>
      <c r="C4" s="8" t="s">
        <v>31</v>
      </c>
    </row>
    <row r="5" spans="2:3" ht="21.75" customHeight="1" x14ac:dyDescent="0.25">
      <c r="B5" s="7" t="s">
        <v>5</v>
      </c>
      <c r="C5" s="8" t="s">
        <v>32</v>
      </c>
    </row>
    <row r="6" spans="2:3" ht="36" customHeight="1" x14ac:dyDescent="0.25">
      <c r="B6" s="7" t="s">
        <v>6</v>
      </c>
      <c r="C6" s="8" t="s">
        <v>33</v>
      </c>
    </row>
    <row r="7" spans="2:3" ht="21.75" customHeight="1" x14ac:dyDescent="0.25">
      <c r="B7" s="7" t="s">
        <v>34</v>
      </c>
      <c r="C7" s="8" t="s">
        <v>35</v>
      </c>
    </row>
    <row r="8" spans="2:3" ht="21.75" customHeight="1" x14ac:dyDescent="0.25">
      <c r="B8" s="7" t="s">
        <v>8</v>
      </c>
      <c r="C8" s="8" t="s">
        <v>36</v>
      </c>
    </row>
    <row r="9" spans="2:3" ht="25.5" customHeight="1" x14ac:dyDescent="0.25">
      <c r="B9" s="16" t="s">
        <v>37</v>
      </c>
      <c r="C9" s="16"/>
    </row>
    <row r="10" spans="2:3" ht="36" customHeight="1" x14ac:dyDescent="0.25">
      <c r="B10" s="7" t="s">
        <v>38</v>
      </c>
      <c r="C10" s="8" t="s">
        <v>39</v>
      </c>
    </row>
    <row r="11" spans="2:3" ht="21.75" customHeight="1" x14ac:dyDescent="0.25">
      <c r="B11" s="7" t="s">
        <v>40</v>
      </c>
      <c r="C11" s="8" t="s">
        <v>41</v>
      </c>
    </row>
    <row r="12" spans="2:3" ht="25.5" customHeight="1" x14ac:dyDescent="0.25">
      <c r="B12" s="16" t="s">
        <v>42</v>
      </c>
      <c r="C12" s="16"/>
    </row>
    <row r="13" spans="2:3" ht="21.75" customHeight="1" x14ac:dyDescent="0.25">
      <c r="B13" s="7" t="s">
        <v>43</v>
      </c>
      <c r="C13" s="8" t="s">
        <v>44</v>
      </c>
    </row>
    <row r="14" spans="2:3" ht="21.75" customHeight="1" x14ac:dyDescent="0.25">
      <c r="B14" s="7" t="s">
        <v>45</v>
      </c>
      <c r="C14" s="8" t="s">
        <v>46</v>
      </c>
    </row>
    <row r="15" spans="2:3" ht="25.5" customHeight="1" x14ac:dyDescent="0.25">
      <c r="B15" s="16" t="s">
        <v>47</v>
      </c>
      <c r="C15" s="16"/>
    </row>
    <row r="16" spans="2:3" ht="21.75" customHeight="1" x14ac:dyDescent="0.25">
      <c r="B16" s="7" t="s">
        <v>9</v>
      </c>
      <c r="C16" s="8" t="s">
        <v>48</v>
      </c>
    </row>
    <row r="17" spans="2:3" ht="21.75" customHeight="1" x14ac:dyDescent="0.25">
      <c r="B17" s="7" t="s">
        <v>10</v>
      </c>
      <c r="C17" s="8" t="s">
        <v>49</v>
      </c>
    </row>
  </sheetData>
  <mergeCells count="5">
    <mergeCell ref="B1:C1"/>
    <mergeCell ref="B3:C3"/>
    <mergeCell ref="B9:C9"/>
    <mergeCell ref="B12:C12"/>
    <mergeCell ref="B15:C1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Daten</vt:lpstr>
      <vt:lpstr>Diagramme</vt:lpstr>
      <vt:lpstr>Anleitung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Christoph Roth</cp:lastModifiedBy>
  <cp:revision>5</cp:revision>
  <cp:lastPrinted>2026-05-04T09:47:32Z</cp:lastPrinted>
  <dcterms:created xsi:type="dcterms:W3CDTF">2026-05-03T15:25:55Z</dcterms:created>
  <dcterms:modified xsi:type="dcterms:W3CDTF">2026-05-17T11:56:06Z</dcterms:modified>
  <dc:language>en-US</dc:language>
</cp:coreProperties>
</file>